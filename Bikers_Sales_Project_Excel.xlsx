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 activeTab="3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1" hidden="1">'Working Sheet'!$A$1:$N$1027</definedName>
    <definedName name="_xlnm._FilterDatabase" localSheetId="0" hidden="1">bike_buyers!$A$1:$M$1001</definedName>
    <definedName name="Slicer_Marital_Status">#N/A</definedName>
    <definedName name="Slicer_Education">#N/A</definedName>
    <definedName name="Slicer_Region">#N/A</definedName>
    <definedName name="Slicer_Occupat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<sst xmlns="http://schemas.openxmlformats.org/spreadsheetml/2006/main" count="16482" uniqueCount="49">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</sst>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&quot;$&quot;#,##0.00"/>
  </numFmts>
  <fonts count="22">
    <font>
      <sz val="11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5" applyNumberFormat="0" applyAlignment="0" applyProtection="0"/>
    <xf numFmtId="0" fontId="15" fillId="7" borderId="6" applyNumberFormat="0" applyAlignment="0" applyProtection="0"/>
    <xf numFmtId="0" fontId="16" fillId="7" borderId="5" applyNumberFormat="0" applyAlignment="0" applyProtection="0"/>
    <xf numFmtId="0" fontId="3" fillId="8" borderId="7" applyNumberFormat="0" applyAlignment="0" applyProtection="0"/>
    <xf numFmtId="0" fontId="17" fillId="0" borderId="8" applyNumberFormat="0" applyFill="0" applyAlignment="0" applyProtection="0"/>
    <xf numFmtId="0" fontId="2" fillId="0" borderId="9" applyNumberFormat="0" applyFill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4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0" fontId="0" fillId="0" borderId="0" xfId="0" applyNumberFormat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81" fontId="0" fillId="0" borderId="0" xfId="0" applyNumberForma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182" formatCode="0.00_);[Red]\(0.00\)"/>
    </dxf>
    <dxf>
      <numFmt numFmtId="183" formatCode="0.00_);[Red]\(0.00\)"/>
    </dxf>
    <dxf>
      <numFmt numFmtId="184" formatCode="0.00_);[Red]\(0.00\)"/>
    </dxf>
    <dxf>
      <numFmt numFmtId="185" formatCode="0.00_);[Red]\(0.00\)"/>
    </dxf>
    <dxf>
      <numFmt numFmtId="186" formatCode="0.00_);[Red]\(0.00\)"/>
    </dxf>
    <dxf>
      <numFmt numFmtId="187" formatCode="0.0_);[Red]\(0.0\)"/>
    </dxf>
    <dxf>
      <numFmt numFmtId="188" formatCode="0.0_);[Red]\(0.0\)"/>
    </dxf>
    <dxf>
      <numFmt numFmtId="189" formatCode="0.0_);[Red]\(0.0\)"/>
    </dxf>
    <dxf>
      <numFmt numFmtId="190" formatCode="0.0_);[Red]\(0.0\)"/>
    </dxf>
    <dxf>
      <numFmt numFmtId="191" formatCode="0_);[Red]\(0\)"/>
    </dxf>
    <dxf>
      <numFmt numFmtId="192" formatCode="0_);[Red]\(0\)"/>
    </dxf>
    <dxf>
      <numFmt numFmtId="193" formatCode="0_);[Red]\(0\)"/>
    </dxf>
    <dxf>
      <numFmt numFmtId="194" formatCode="0_);[Red]\(0\)"/>
    </dxf>
    <dxf>
      <numFmt numFmtId="195" formatCode="_ * #,##0.0_ ;_ * \-#,##0.0_ ;_ * &quot;-&quot;??_ ;_ @_ "/>
    </dxf>
    <dxf>
      <numFmt numFmtId="196" formatCode="_ * #,##0.0_ ;_ * \-#,##0.0_ ;_ * &quot;-&quot;??_ ;_ @_ "/>
    </dxf>
    <dxf>
      <numFmt numFmtId="197" formatCode="_ * #,##0.0_ ;_ * \-#,##0.0_ ;_ * &quot;-&quot;??_ ;_ @_ "/>
    </dxf>
    <dxf>
      <numFmt numFmtId="198" formatCode="_ * #,##0.0_ ;_ * \-#,##0.0_ ;_ * &quot;-&quot;??_ ;_ @_ "/>
    </dxf>
    <dxf>
      <numFmt numFmtId="180" formatCode="_ * #,##0_ ;_ * \-#,##0_ ;_ * &quot;-&quot;??_ ;_ @_ "/>
    </dxf>
    <dxf>
      <numFmt numFmtId="180" formatCode="_ * #,##0_ ;_ * \-#,##0_ ;_ * &quot;-&quot;??_ ;_ @_ "/>
    </dxf>
    <dxf>
      <numFmt numFmtId="180" formatCode="_ * #,##0_ ;_ * \-#,##0_ ;_ * &quot;-&quot;??_ ;_ @_ "/>
    </dxf>
    <dxf>
      <numFmt numFmtId="180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chemeClr val="tx1">
                    <a:lumMod val="75000"/>
                    <a:lumOff val="25000"/>
                  </a:schemeClr>
                </a:solidFill>
                <a:uFillTx/>
              </a:rPr>
              <a:t>Avg Income Per Purchase</a:t>
            </a:r>
            <a:endParaRPr sz="1200">
              <a:solidFill>
                <a:schemeClr val="tx1">
                  <a:lumMod val="75000"/>
                  <a:lumOff val="25000"/>
                </a:schemeClr>
              </a:solidFill>
              <a:uFillTx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52520.325203252</c:v>
                </c:pt>
                <c:pt idx="1">
                  <c:v>49789.4736842105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52330.8270676692</c:v>
                </c:pt>
                <c:pt idx="1">
                  <c:v>58015.873015873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5395750"/>
        <c:axId val="364799283"/>
      </c:barChart>
      <c:catAx>
        <c:axId val="8753957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799283"/>
        <c:crosses val="autoZero"/>
        <c:auto val="1"/>
        <c:lblAlgn val="ctr"/>
        <c:lblOffset val="100"/>
        <c:noMultiLvlLbl val="0"/>
      </c:catAx>
      <c:valAx>
        <c:axId val="3647992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39575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4490225"/>
        <c:axId val="37419859"/>
      </c:lineChart>
      <c:catAx>
        <c:axId val="92449022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19859"/>
        <c:crosses val="autoZero"/>
        <c:auto val="1"/>
        <c:lblAlgn val="ctr"/>
        <c:lblOffset val="100"/>
        <c:noMultiLvlLbl val="0"/>
      </c:catAx>
      <c:valAx>
        <c:axId val="374198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4902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1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1">
                  <c:v>60</c:v>
                </c:pt>
                <c:pt idx="2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58477"/>
        <c:axId val="98027084"/>
      </c:lineChart>
      <c:catAx>
        <c:axId val="9915584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27084"/>
        <c:crosses val="autoZero"/>
        <c:auto val="1"/>
        <c:lblAlgn val="ctr"/>
        <c:lblOffset val="100"/>
        <c:noMultiLvlLbl val="0"/>
      </c:catAx>
      <c:valAx>
        <c:axId val="980270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5584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Table'!$B$53:$B$54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Table'!$A$55:$A$108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Table'!$B$55:$B$108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25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12</c:v>
                </c:pt>
                <c:pt idx="22">
                  <c:v>20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14</c:v>
                </c:pt>
                <c:pt idx="31">
                  <c:v>14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Table'!$C$53:$C$54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Table'!$A$55:$A$108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Table'!$C$55:$C$108</c:f>
              <c:numCache>
                <c:formatCode>General</c:formatCode>
                <c:ptCount val="53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25</c:v>
                </c:pt>
                <c:pt idx="11">
                  <c:v>31</c:v>
                </c:pt>
                <c:pt idx="12">
                  <c:v>28</c:v>
                </c:pt>
                <c:pt idx="13">
                  <c:v>30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531827"/>
        <c:axId val="593320580"/>
      </c:lineChart>
      <c:catAx>
        <c:axId val="3725318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320580"/>
        <c:crosses val="autoZero"/>
        <c:auto val="1"/>
        <c:lblAlgn val="ctr"/>
        <c:lblOffset val="100"/>
        <c:noMultiLvlLbl val="0"/>
      </c:catAx>
      <c:valAx>
        <c:axId val="5933205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5318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Table'!$B$53:$B$54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Table'!$A$55:$A$108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Table'!$B$55:$B$108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25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12</c:v>
                </c:pt>
                <c:pt idx="22">
                  <c:v>20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14</c:v>
                </c:pt>
                <c:pt idx="31">
                  <c:v>14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Table'!$C$53:$C$54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Table'!$A$55:$A$108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Table'!$C$55:$C$108</c:f>
              <c:numCache>
                <c:formatCode>General</c:formatCode>
                <c:ptCount val="53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25</c:v>
                </c:pt>
                <c:pt idx="11">
                  <c:v>31</c:v>
                </c:pt>
                <c:pt idx="12">
                  <c:v>28</c:v>
                </c:pt>
                <c:pt idx="13">
                  <c:v>30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631082"/>
        <c:axId val="108747128"/>
      </c:lineChart>
      <c:catAx>
        <c:axId val="7286310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747128"/>
        <c:crosses val="autoZero"/>
        <c:auto val="1"/>
        <c:lblAlgn val="ctr"/>
        <c:lblOffset val="100"/>
        <c:noMultiLvlLbl val="0"/>
      </c:catAx>
      <c:valAx>
        <c:axId val="10874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86310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>
                    <a:lumMod val="75000"/>
                    <a:lumOff val="25000"/>
                  </a:schemeClr>
                </a:solidFill>
                <a:uFillTx/>
              </a:rPr>
              <a:t>Avg Income Per Purchase</a:t>
            </a:r>
            <a:endParaRPr>
              <a:solidFill>
                <a:schemeClr val="tx1">
                  <a:lumMod val="75000"/>
                  <a:lumOff val="25000"/>
                </a:schemeClr>
              </a:solidFill>
              <a:uFillTx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52520.325203252</c:v>
                </c:pt>
                <c:pt idx="1">
                  <c:v>49789.4736842105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52330.8270676692</c:v>
                </c:pt>
                <c:pt idx="1">
                  <c:v>58015.873015873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5395750"/>
        <c:axId val="364799283"/>
      </c:barChart>
      <c:catAx>
        <c:axId val="8753957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799283"/>
        <c:crosses val="autoZero"/>
        <c:auto val="1"/>
        <c:lblAlgn val="ctr"/>
        <c:lblOffset val="100"/>
        <c:noMultiLvlLbl val="0"/>
      </c:catAx>
      <c:valAx>
        <c:axId val="3647992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39575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11a703-44ab-4782-803b-94db52c902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4490225"/>
        <c:axId val="37419859"/>
      </c:lineChart>
      <c:catAx>
        <c:axId val="92449022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19859"/>
        <c:crosses val="autoZero"/>
        <c:auto val="1"/>
        <c:lblAlgn val="ctr"/>
        <c:lblOffset val="100"/>
        <c:noMultiLvlLbl val="0"/>
      </c:catAx>
      <c:valAx>
        <c:axId val="374198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4902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8b13f4-0602-4673-8b0a-a1afa72ee8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1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1">
                  <c:v>60</c:v>
                </c:pt>
                <c:pt idx="2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58477"/>
        <c:axId val="98027084"/>
      </c:lineChart>
      <c:catAx>
        <c:axId val="9915584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27084"/>
        <c:crosses val="autoZero"/>
        <c:auto val="1"/>
        <c:lblAlgn val="ctr"/>
        <c:lblOffset val="100"/>
        <c:noMultiLvlLbl val="0"/>
      </c:catAx>
      <c:valAx>
        <c:axId val="980270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5584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4eadca-90e0-4a55-97e6-397ed7caee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388620</xdr:colOff>
      <xdr:row>0</xdr:row>
      <xdr:rowOff>7620</xdr:rowOff>
    </xdr:from>
    <xdr:to>
      <xdr:col>12</xdr:col>
      <xdr:colOff>604520</xdr:colOff>
      <xdr:row>15</xdr:row>
      <xdr:rowOff>7620</xdr:rowOff>
    </xdr:to>
    <xdr:graphicFrame>
      <xdr:nvGraphicFramePr>
        <xdr:cNvPr id="2" name="Chart 1"/>
        <xdr:cNvGraphicFramePr/>
      </xdr:nvGraphicFramePr>
      <xdr:xfrm>
        <a:off x="5059680" y="7620"/>
        <a:ext cx="50927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396240</xdr:colOff>
      <xdr:row>16</xdr:row>
      <xdr:rowOff>177800</xdr:rowOff>
    </xdr:from>
    <xdr:to>
      <xdr:col>13</xdr:col>
      <xdr:colOff>17780</xdr:colOff>
      <xdr:row>32</xdr:row>
      <xdr:rowOff>2540</xdr:rowOff>
    </xdr:to>
    <xdr:graphicFrame>
      <xdr:nvGraphicFramePr>
        <xdr:cNvPr id="3" name="Chart 2"/>
        <xdr:cNvGraphicFramePr/>
      </xdr:nvGraphicFramePr>
      <xdr:xfrm>
        <a:off x="5067300" y="3103880"/>
        <a:ext cx="5107940" cy="275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396240</xdr:colOff>
      <xdr:row>34</xdr:row>
      <xdr:rowOff>2540</xdr:rowOff>
    </xdr:from>
    <xdr:to>
      <xdr:col>12</xdr:col>
      <xdr:colOff>604520</xdr:colOff>
      <xdr:row>48</xdr:row>
      <xdr:rowOff>154940</xdr:rowOff>
    </xdr:to>
    <xdr:graphicFrame>
      <xdr:nvGraphicFramePr>
        <xdr:cNvPr id="4" name="Chart 3"/>
        <xdr:cNvGraphicFramePr/>
      </xdr:nvGraphicFramePr>
      <xdr:xfrm>
        <a:off x="5067300" y="6220460"/>
        <a:ext cx="508508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60960</xdr:colOff>
      <xdr:row>87</xdr:row>
      <xdr:rowOff>27940</xdr:rowOff>
    </xdr:from>
    <xdr:to>
      <xdr:col>8</xdr:col>
      <xdr:colOff>535940</xdr:colOff>
      <xdr:row>102</xdr:row>
      <xdr:rowOff>27940</xdr:rowOff>
    </xdr:to>
    <xdr:graphicFrame>
      <xdr:nvGraphicFramePr>
        <xdr:cNvPr id="6" name="Chart 5"/>
        <xdr:cNvGraphicFramePr/>
      </xdr:nvGraphicFramePr>
      <xdr:xfrm>
        <a:off x="2819400" y="15938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403860</xdr:colOff>
      <xdr:row>52</xdr:row>
      <xdr:rowOff>22860</xdr:rowOff>
    </xdr:from>
    <xdr:to>
      <xdr:col>12</xdr:col>
      <xdr:colOff>603885</xdr:colOff>
      <xdr:row>67</xdr:row>
      <xdr:rowOff>22860</xdr:rowOff>
    </xdr:to>
    <xdr:graphicFrame>
      <xdr:nvGraphicFramePr>
        <xdr:cNvPr id="7" name="Chart 6"/>
        <xdr:cNvGraphicFramePr/>
      </xdr:nvGraphicFramePr>
      <xdr:xfrm>
        <a:off x="5074920" y="9532620"/>
        <a:ext cx="5076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10795</xdr:colOff>
      <xdr:row>6</xdr:row>
      <xdr:rowOff>48895</xdr:rowOff>
    </xdr:from>
    <xdr:to>
      <xdr:col>9</xdr:col>
      <xdr:colOff>78105</xdr:colOff>
      <xdr:row>21</xdr:row>
      <xdr:rowOff>80010</xdr:rowOff>
    </xdr:to>
    <xdr:graphicFrame>
      <xdr:nvGraphicFramePr>
        <xdr:cNvPr id="2" name="Chart 1"/>
        <xdr:cNvGraphicFramePr/>
      </xdr:nvGraphicFramePr>
      <xdr:xfrm>
        <a:off x="1839595" y="1146175"/>
        <a:ext cx="3724910" cy="277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</xdr:colOff>
      <xdr:row>21</xdr:row>
      <xdr:rowOff>149225</xdr:rowOff>
    </xdr:from>
    <xdr:to>
      <xdr:col>15</xdr:col>
      <xdr:colOff>22225</xdr:colOff>
      <xdr:row>38</xdr:row>
      <xdr:rowOff>34290</xdr:rowOff>
    </xdr:to>
    <xdr:graphicFrame>
      <xdr:nvGraphicFramePr>
        <xdr:cNvPr id="3" name="Chart 2"/>
        <xdr:cNvGraphicFramePr/>
      </xdr:nvGraphicFramePr>
      <xdr:xfrm>
        <a:off x="1840230" y="3989705"/>
        <a:ext cx="7325995" cy="2994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113030</xdr:colOff>
      <xdr:row>6</xdr:row>
      <xdr:rowOff>60960</xdr:rowOff>
    </xdr:from>
    <xdr:to>
      <xdr:col>15</xdr:col>
      <xdr:colOff>41910</xdr:colOff>
      <xdr:row>21</xdr:row>
      <xdr:rowOff>87630</xdr:rowOff>
    </xdr:to>
    <xdr:graphicFrame>
      <xdr:nvGraphicFramePr>
        <xdr:cNvPr id="4" name="Chart 3"/>
        <xdr:cNvGraphicFramePr/>
      </xdr:nvGraphicFramePr>
      <xdr:xfrm>
        <a:off x="5599430" y="1158240"/>
        <a:ext cx="3586480" cy="2769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6</xdr:row>
      <xdr:rowOff>43815</xdr:rowOff>
    </xdr:from>
    <xdr:to>
      <xdr:col>2</xdr:col>
      <xdr:colOff>558165</xdr:colOff>
      <xdr:row>11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141095"/>
              <a:ext cx="1769745" cy="9658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18</xdr:row>
      <xdr:rowOff>146685</xdr:rowOff>
    </xdr:from>
    <xdr:to>
      <xdr:col>2</xdr:col>
      <xdr:colOff>549910</xdr:colOff>
      <xdr:row>28</xdr:row>
      <xdr:rowOff>71755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438525"/>
              <a:ext cx="1761490" cy="1753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11</xdr:row>
      <xdr:rowOff>136525</xdr:rowOff>
    </xdr:from>
    <xdr:to>
      <xdr:col>2</xdr:col>
      <xdr:colOff>549275</xdr:colOff>
      <xdr:row>18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148205"/>
              <a:ext cx="1760855" cy="1248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28</xdr:row>
      <xdr:rowOff>127000</xdr:rowOff>
    </xdr:from>
    <xdr:to>
      <xdr:col>2</xdr:col>
      <xdr:colOff>549275</xdr:colOff>
      <xdr:row>38</xdr:row>
      <xdr:rowOff>34290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Occup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5247640"/>
              <a:ext cx="1760855" cy="1736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2.5998611111" refreshedBy="Shaikh Saif" recordCount="1026">
  <cacheSource type="worksheet">
    <worksheetSource ref="A1:N1027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81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6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21">
    <format dxfId="0">
      <pivotArea dataOnly="0" labelOnly="1" fieldPosition="0">
        <references count="1">
          <reference field="2" count="1">
            <x v="0"/>
          </reference>
        </references>
      </pivotArea>
    </format>
    <format dxfId="1">
      <pivotArea dataOnly="0" labelOnly="1" fieldPosition="0">
        <references count="1">
          <reference field="2" count="1">
            <x v="0"/>
          </reference>
        </references>
      </pivotArea>
    </format>
    <format dxfId="2">
      <pivotArea dataOnly="0" labelOnly="1" fieldPosition="0">
        <references count="1">
          <reference field="2" count="1">
            <x v="1"/>
          </reference>
        </references>
      </pivotArea>
    </format>
    <format dxfId="3">
      <pivotArea dataOnly="0" labelOnly="1" grandRow="1" fieldPosition="0"/>
    </format>
    <format dxfId="4">
      <pivotArea collapsedLevelsAreSubtotals="1" fieldPosition="0"/>
    </format>
    <format dxfId="5">
      <pivotArea dataOnly="0" labelOnly="1" fieldPosition="0">
        <references count="1">
          <reference field="2" count="1">
            <x v="0"/>
          </reference>
        </references>
      </pivotArea>
    </format>
    <format dxfId="6">
      <pivotArea dataOnly="0" labelOnly="1" fieldPosition="0">
        <references count="1">
          <reference field="2" count="1">
            <x v="1"/>
          </reference>
        </references>
      </pivotArea>
    </format>
    <format dxfId="7">
      <pivotArea dataOnly="0" labelOnly="1" grandRow="1" fieldPosition="0"/>
    </format>
    <format dxfId="8">
      <pivotArea collapsedLevelsAreSubtotals="1" fieldPosition="0"/>
    </format>
    <format dxfId="9">
      <pivotArea dataOnly="0" labelOnly="1" fieldPosition="0">
        <references count="1">
          <reference field="2" count="1">
            <x v="0"/>
          </reference>
        </references>
      </pivotArea>
    </format>
    <format dxfId="10">
      <pivotArea dataOnly="0" labelOnly="1" fieldPosition="0">
        <references count="1">
          <reference field="2" count="1">
            <x v="1"/>
          </reference>
        </references>
      </pivotArea>
    </format>
    <format dxfId="11">
      <pivotArea dataOnly="0" labelOnly="1" grandRow="1" fieldPosition="0"/>
    </format>
    <format dxfId="12">
      <pivotArea collapsedLevelsAreSubtotals="1" fieldPosition="0"/>
    </format>
    <format dxfId="13">
      <pivotArea dataOnly="0" labelOnly="1" fieldPosition="0">
        <references count="1">
          <reference field="2" count="1">
            <x v="0"/>
          </reference>
        </references>
      </pivotArea>
    </format>
    <format dxfId="14">
      <pivotArea dataOnly="0" labelOnly="1" fieldPosition="0">
        <references count="1">
          <reference field="2" count="1">
            <x v="1"/>
          </reference>
        </references>
      </pivotArea>
    </format>
    <format dxfId="15">
      <pivotArea dataOnly="0" labelOnly="1" grandRow="1" fieldPosition="0"/>
    </format>
    <format dxfId="16">
      <pivotArea collapsedLevelsAreSubtotals="1" fieldPosition="0"/>
    </format>
    <format dxfId="17">
      <pivotArea dataOnly="0" labelOnly="1" fieldPosition="0">
        <references count="1">
          <reference field="2" count="1">
            <x v="0"/>
          </reference>
        </references>
      </pivotArea>
    </format>
    <format dxfId="18">
      <pivotArea dataOnly="0" labelOnly="1" fieldPosition="0">
        <references count="1">
          <reference field="2" count="1">
            <x v="1"/>
          </reference>
        </references>
      </pivotArea>
    </format>
    <format dxfId="19">
      <pivotArea dataOnly="0" labelOnly="1" grandRow="1" fieldPosition="0"/>
    </format>
    <format dxfId="2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9:D2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7:D42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h="1" x="1"/>
        <item h="1" x="2"/>
        <item h="1" x="3"/>
        <item h="1"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3:D10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</pivotTables>
  <data>
    <tabular pivotCacheId="1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3"/>
  </pivotTables>
  <data>
    <tabular pivotCacheId="1">
      <items count="5">
        <i x="0" s="1"/>
        <i x="4" s="0"/>
        <i x="2" s="0"/>
        <i x="1" s="0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3"/>
  </pivotTables>
  <data>
    <tabular pivotCacheId="1">
      <items count="3">
        <i x="0" s="0"/>
        <i x="2" s="1"/>
        <i x="1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ccupation" sourceName="Occupation">
  <pivotTables>
    <pivotTable tabId="3" name="PivotTable2"/>
  </pivotTables>
  <data>
    <tabular pivotCacheId="1">
      <items count="5">
        <i x="1" s="1"/>
        <i x="4" s="1"/>
        <i x="3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  <slicer name="Occupation" cache="Slicer_Occupation" caption="Occupat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$A1:$XFD1048576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6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6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6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6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6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6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6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6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6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6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6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6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6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6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6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6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6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6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6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6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6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6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6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6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7"/>
  <sheetViews>
    <sheetView workbookViewId="0">
      <selection activeCell="J1" sqref="J$1:J$1048576"/>
    </sheetView>
  </sheetViews>
  <sheetFormatPr defaultColWidth="11.8888888888889" defaultRowHeight="14.4"/>
  <cols>
    <col min="1" max="1" width="6.66666666666667" customWidth="1"/>
    <col min="2" max="2" width="17.8888888888889" customWidth="1"/>
    <col min="6" max="6" width="20.8888888888889" customWidth="1"/>
    <col min="7" max="7" width="14.7777777777778" customWidth="1"/>
    <col min="8" max="8" width="16.5555555555556" customWidth="1"/>
    <col min="10" max="10" width="22.5555555555556" customWidth="1"/>
    <col min="13" max="14" width="17.6666666666667" customWidth="1"/>
  </cols>
  <sheetData>
    <row r="1" s="4" customFormat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36</v>
      </c>
      <c r="N1" s="5" t="s">
        <v>12</v>
      </c>
    </row>
    <row r="2" spans="1:14">
      <c r="A2">
        <v>12496</v>
      </c>
      <c r="B2" t="s">
        <v>37</v>
      </c>
      <c r="C2" t="s">
        <v>38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26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6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  <row r="1002" spans="1:14">
      <c r="A1002">
        <v>13507</v>
      </c>
      <c r="B1002" t="s">
        <v>37</v>
      </c>
      <c r="C1002" t="s">
        <v>38</v>
      </c>
      <c r="D1002" s="6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tr">
        <f t="shared" si="15"/>
        <v>Middle Age</v>
      </c>
      <c r="N1002" t="s">
        <v>20</v>
      </c>
    </row>
    <row r="1003" spans="1:14">
      <c r="A1003">
        <v>19280</v>
      </c>
      <c r="B1003" t="s">
        <v>37</v>
      </c>
      <c r="C1003" t="s">
        <v>39</v>
      </c>
      <c r="D1003" s="6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tr">
        <f t="shared" si="15"/>
        <v>Middle Age</v>
      </c>
      <c r="N1003" t="s">
        <v>17</v>
      </c>
    </row>
    <row r="1004" spans="1:14">
      <c r="A1004">
        <v>22173</v>
      </c>
      <c r="B1004" t="s">
        <v>37</v>
      </c>
      <c r="C1004" t="s">
        <v>38</v>
      </c>
      <c r="D1004" s="6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tr">
        <f t="shared" si="15"/>
        <v>Middle Age</v>
      </c>
      <c r="N1004" t="s">
        <v>17</v>
      </c>
    </row>
    <row r="1005" spans="1:14">
      <c r="A1005">
        <v>12697</v>
      </c>
      <c r="B1005" t="s">
        <v>40</v>
      </c>
      <c r="C1005" t="s">
        <v>38</v>
      </c>
      <c r="D1005" s="6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41</v>
      </c>
      <c r="K1005" t="s">
        <v>27</v>
      </c>
      <c r="L1005">
        <v>36</v>
      </c>
      <c r="M1005" t="str">
        <f t="shared" si="15"/>
        <v>Middle Age</v>
      </c>
      <c r="N1005" t="s">
        <v>20</v>
      </c>
    </row>
    <row r="1006" spans="1:14">
      <c r="A1006">
        <v>11434</v>
      </c>
      <c r="B1006" t="s">
        <v>37</v>
      </c>
      <c r="C1006" t="s">
        <v>39</v>
      </c>
      <c r="D1006" s="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tr">
        <f t="shared" si="15"/>
        <v>Old</v>
      </c>
      <c r="N1006" t="s">
        <v>20</v>
      </c>
    </row>
    <row r="1007" spans="1:14">
      <c r="A1007">
        <v>25323</v>
      </c>
      <c r="B1007" t="s">
        <v>37</v>
      </c>
      <c r="C1007" t="s">
        <v>39</v>
      </c>
      <c r="D1007" s="6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tr">
        <f t="shared" si="15"/>
        <v>Middle Age</v>
      </c>
      <c r="N1007" t="s">
        <v>17</v>
      </c>
    </row>
    <row r="1008" spans="1:14">
      <c r="A1008">
        <v>23542</v>
      </c>
      <c r="B1008" t="s">
        <v>40</v>
      </c>
      <c r="C1008" t="s">
        <v>39</v>
      </c>
      <c r="D1008" s="6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tr">
        <f t="shared" si="15"/>
        <v>Middle Age</v>
      </c>
      <c r="N1008" t="s">
        <v>17</v>
      </c>
    </row>
    <row r="1009" spans="1:14">
      <c r="A1009">
        <v>20870</v>
      </c>
      <c r="B1009" t="s">
        <v>40</v>
      </c>
      <c r="C1009" t="s">
        <v>38</v>
      </c>
      <c r="D1009" s="6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tr">
        <f t="shared" si="15"/>
        <v>Middle Age</v>
      </c>
      <c r="N1009" t="s">
        <v>17</v>
      </c>
    </row>
    <row r="1010" spans="1:14">
      <c r="A1010">
        <v>23316</v>
      </c>
      <c r="B1010" t="s">
        <v>40</v>
      </c>
      <c r="C1010" t="s">
        <v>39</v>
      </c>
      <c r="D1010" s="6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tr">
        <f t="shared" si="15"/>
        <v>Old</v>
      </c>
      <c r="N1010" t="s">
        <v>17</v>
      </c>
    </row>
    <row r="1011" spans="1:14">
      <c r="A1011">
        <v>12610</v>
      </c>
      <c r="B1011" t="s">
        <v>37</v>
      </c>
      <c r="C1011" t="s">
        <v>38</v>
      </c>
      <c r="D1011" s="6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tr">
        <f t="shared" si="15"/>
        <v>Middle Age</v>
      </c>
      <c r="N1011" t="s">
        <v>20</v>
      </c>
    </row>
    <row r="1012" spans="1:14">
      <c r="A1012">
        <v>27183</v>
      </c>
      <c r="B1012" t="s">
        <v>40</v>
      </c>
      <c r="C1012" t="s">
        <v>39</v>
      </c>
      <c r="D1012" s="6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tr">
        <f t="shared" si="15"/>
        <v>Middle Age</v>
      </c>
      <c r="N1012" t="s">
        <v>17</v>
      </c>
    </row>
    <row r="1013" spans="1:14">
      <c r="A1013">
        <v>25940</v>
      </c>
      <c r="B1013" t="s">
        <v>40</v>
      </c>
      <c r="C1013" t="s">
        <v>39</v>
      </c>
      <c r="D1013" s="6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tr">
        <f t="shared" si="15"/>
        <v>Old</v>
      </c>
      <c r="N1013" t="s">
        <v>17</v>
      </c>
    </row>
    <row r="1014" spans="1:14">
      <c r="A1014">
        <v>25598</v>
      </c>
      <c r="B1014" t="s">
        <v>37</v>
      </c>
      <c r="C1014" t="s">
        <v>38</v>
      </c>
      <c r="D1014" s="6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tr">
        <f t="shared" si="15"/>
        <v>Middle Age</v>
      </c>
      <c r="N1014" t="s">
        <v>17</v>
      </c>
    </row>
    <row r="1015" spans="1:14">
      <c r="A1015">
        <v>21564</v>
      </c>
      <c r="B1015" t="s">
        <v>40</v>
      </c>
      <c r="C1015" t="s">
        <v>38</v>
      </c>
      <c r="D1015" s="6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41</v>
      </c>
      <c r="K1015" t="s">
        <v>27</v>
      </c>
      <c r="L1015">
        <v>35</v>
      </c>
      <c r="M1015" t="str">
        <f t="shared" si="15"/>
        <v>Middle Age</v>
      </c>
      <c r="N1015" t="s">
        <v>20</v>
      </c>
    </row>
    <row r="1016" spans="1:14">
      <c r="A1016">
        <v>19193</v>
      </c>
      <c r="B1016" t="s">
        <v>40</v>
      </c>
      <c r="C1016" t="s">
        <v>39</v>
      </c>
      <c r="D1016" s="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tr">
        <f t="shared" si="15"/>
        <v>Middle Age</v>
      </c>
      <c r="N1016" t="s">
        <v>17</v>
      </c>
    </row>
    <row r="1017" spans="1:14">
      <c r="A1017">
        <v>26412</v>
      </c>
      <c r="B1017" t="s">
        <v>37</v>
      </c>
      <c r="C1017" t="s">
        <v>38</v>
      </c>
      <c r="D1017" s="6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tr">
        <f t="shared" si="15"/>
        <v>Old</v>
      </c>
      <c r="N1017" t="s">
        <v>20</v>
      </c>
    </row>
    <row r="1018" spans="1:14">
      <c r="A1018">
        <v>27184</v>
      </c>
      <c r="B1018" t="s">
        <v>40</v>
      </c>
      <c r="C1018" t="s">
        <v>39</v>
      </c>
      <c r="D1018" s="6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tr">
        <f t="shared" si="15"/>
        <v>Middle Age</v>
      </c>
      <c r="N1018" t="s">
        <v>20</v>
      </c>
    </row>
    <row r="1019" spans="1:14">
      <c r="A1019">
        <v>12590</v>
      </c>
      <c r="B1019" t="s">
        <v>40</v>
      </c>
      <c r="C1019" t="s">
        <v>39</v>
      </c>
      <c r="D1019" s="6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tr">
        <f t="shared" si="15"/>
        <v>Old</v>
      </c>
      <c r="N1019" t="s">
        <v>20</v>
      </c>
    </row>
    <row r="1020" spans="1:14">
      <c r="A1020">
        <v>17841</v>
      </c>
      <c r="B1020" t="s">
        <v>40</v>
      </c>
      <c r="C1020" t="s">
        <v>39</v>
      </c>
      <c r="D1020" s="6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tr">
        <f t="shared" si="15"/>
        <v>Adolescent</v>
      </c>
      <c r="N1020" t="s">
        <v>17</v>
      </c>
    </row>
    <row r="1021" spans="1:14">
      <c r="A1021">
        <v>18283</v>
      </c>
      <c r="B1021" t="s">
        <v>40</v>
      </c>
      <c r="C1021" t="s">
        <v>38</v>
      </c>
      <c r="D1021" s="6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tr">
        <f t="shared" si="15"/>
        <v>Middle Age</v>
      </c>
      <c r="N1021" t="s">
        <v>20</v>
      </c>
    </row>
    <row r="1022" spans="1:14">
      <c r="A1022">
        <v>18299</v>
      </c>
      <c r="B1022" t="s">
        <v>37</v>
      </c>
      <c r="C1022" t="s">
        <v>39</v>
      </c>
      <c r="D1022" s="6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tr">
        <f t="shared" si="15"/>
        <v>Middle Age</v>
      </c>
      <c r="N1022" t="s">
        <v>20</v>
      </c>
    </row>
    <row r="1023" spans="1:14">
      <c r="A1023">
        <v>16466</v>
      </c>
      <c r="B1023" t="s">
        <v>40</v>
      </c>
      <c r="C1023" t="s">
        <v>38</v>
      </c>
      <c r="D1023" s="6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tr">
        <f t="shared" si="15"/>
        <v>Middle Age</v>
      </c>
      <c r="N1023" t="s">
        <v>17</v>
      </c>
    </row>
    <row r="1024" spans="1:14">
      <c r="A1024">
        <v>19273</v>
      </c>
      <c r="B1024" t="s">
        <v>37</v>
      </c>
      <c r="C1024" t="s">
        <v>38</v>
      </c>
      <c r="D1024" s="6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tr">
        <f t="shared" si="15"/>
        <v>Old</v>
      </c>
      <c r="N1024" t="s">
        <v>20</v>
      </c>
    </row>
    <row r="1025" spans="1:14">
      <c r="A1025">
        <v>22400</v>
      </c>
      <c r="B1025" t="s">
        <v>37</v>
      </c>
      <c r="C1025" t="s">
        <v>39</v>
      </c>
      <c r="D1025" s="6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tr">
        <f t="shared" si="15"/>
        <v>Adolescent</v>
      </c>
      <c r="N1025" t="s">
        <v>17</v>
      </c>
    </row>
    <row r="1026" spans="1:14">
      <c r="A1026">
        <v>20942</v>
      </c>
      <c r="B1026" t="s">
        <v>40</v>
      </c>
      <c r="C1026" t="s">
        <v>38</v>
      </c>
      <c r="D1026" s="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tr">
        <f t="shared" si="15"/>
        <v>Middle Age</v>
      </c>
      <c r="N1026" t="s">
        <v>20</v>
      </c>
    </row>
    <row r="1027" spans="1:14">
      <c r="A1027">
        <v>18484</v>
      </c>
      <c r="B1027" t="s">
        <v>40</v>
      </c>
      <c r="C1027" t="s">
        <v>39</v>
      </c>
      <c r="D1027" s="6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tr">
        <f>IF(L1027&gt;54,"Old",IF(L1027&gt;=31,"Middle Age",IF(L1027&lt;31,"Adolescent","Invalid")))</f>
        <v>Middle Age</v>
      </c>
      <c r="N1027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8"/>
  <sheetViews>
    <sheetView topLeftCell="A20" workbookViewId="0">
      <selection activeCell="L50" sqref="L50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3" spans="1:4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s="3" t="s">
        <v>38</v>
      </c>
      <c r="B5" s="3">
        <v>52520.325203252</v>
      </c>
      <c r="C5" s="3">
        <v>52330.8270676692</v>
      </c>
      <c r="D5" s="3">
        <v>52421.875</v>
      </c>
    </row>
    <row r="6" spans="1:4">
      <c r="A6" s="3" t="s">
        <v>39</v>
      </c>
      <c r="B6" s="3">
        <v>49789.4736842105</v>
      </c>
      <c r="C6" s="3">
        <v>58015.873015873</v>
      </c>
      <c r="D6" s="3">
        <v>54479.6380090498</v>
      </c>
    </row>
    <row r="7" spans="1:4">
      <c r="A7" s="3" t="s">
        <v>43</v>
      </c>
      <c r="B7" s="3">
        <v>51330.2752293578</v>
      </c>
      <c r="C7" s="3">
        <v>55096.5250965251</v>
      </c>
      <c r="D7" s="3">
        <v>53375.2620545073</v>
      </c>
    </row>
    <row r="19" spans="1:4">
      <c r="A19" t="s">
        <v>44</v>
      </c>
      <c r="B19" t="s">
        <v>12</v>
      </c>
    </row>
    <row r="20" spans="1:4">
      <c r="A20" t="s">
        <v>9</v>
      </c>
      <c r="B20" t="s">
        <v>20</v>
      </c>
      <c r="C20" t="s">
        <v>17</v>
      </c>
      <c r="D20" t="s">
        <v>43</v>
      </c>
    </row>
    <row r="21" spans="1:4">
      <c r="A21" t="s">
        <v>18</v>
      </c>
      <c r="B21">
        <v>171</v>
      </c>
      <c r="C21">
        <v>207</v>
      </c>
      <c r="D21">
        <v>378</v>
      </c>
    </row>
    <row r="22" spans="1:4">
      <c r="A22" t="s">
        <v>29</v>
      </c>
      <c r="B22">
        <v>93</v>
      </c>
      <c r="C22">
        <v>83</v>
      </c>
      <c r="D22">
        <v>176</v>
      </c>
    </row>
    <row r="23" spans="1:4">
      <c r="A23" t="s">
        <v>24</v>
      </c>
      <c r="B23">
        <v>67</v>
      </c>
      <c r="C23">
        <v>95</v>
      </c>
      <c r="D23">
        <v>162</v>
      </c>
    </row>
    <row r="24" spans="1:4">
      <c r="A24" t="s">
        <v>26</v>
      </c>
      <c r="B24">
        <v>120</v>
      </c>
      <c r="C24">
        <v>77</v>
      </c>
      <c r="D24">
        <v>197</v>
      </c>
    </row>
    <row r="25" spans="1:4">
      <c r="A25" t="s">
        <v>41</v>
      </c>
      <c r="B25">
        <v>80</v>
      </c>
      <c r="C25">
        <v>33</v>
      </c>
      <c r="D25">
        <v>113</v>
      </c>
    </row>
    <row r="26" spans="1:4">
      <c r="A26" t="s">
        <v>43</v>
      </c>
      <c r="B26">
        <v>531</v>
      </c>
      <c r="C26">
        <v>495</v>
      </c>
      <c r="D26">
        <v>1026</v>
      </c>
    </row>
    <row r="37" spans="1:4">
      <c r="A37" t="s">
        <v>44</v>
      </c>
      <c r="B37" t="s">
        <v>12</v>
      </c>
    </row>
    <row r="38" spans="1:4">
      <c r="A38" t="s">
        <v>36</v>
      </c>
      <c r="B38" t="s">
        <v>20</v>
      </c>
      <c r="C38" t="s">
        <v>17</v>
      </c>
      <c r="D38" t="s">
        <v>43</v>
      </c>
    </row>
    <row r="39" spans="1:4">
      <c r="A39" t="s">
        <v>45</v>
      </c>
      <c r="B39">
        <v>1</v>
      </c>
      <c r="C39"/>
      <c r="D39">
        <v>1</v>
      </c>
    </row>
    <row r="40" spans="1:4">
      <c r="A40" t="s">
        <v>46</v>
      </c>
      <c r="B40">
        <v>40</v>
      </c>
      <c r="C40">
        <v>60</v>
      </c>
      <c r="D40">
        <v>100</v>
      </c>
    </row>
    <row r="41" spans="1:4">
      <c r="A41" t="s">
        <v>47</v>
      </c>
      <c r="B41">
        <v>30</v>
      </c>
      <c r="C41">
        <v>11</v>
      </c>
      <c r="D41">
        <v>41</v>
      </c>
    </row>
    <row r="42" spans="1:4">
      <c r="A42" t="s">
        <v>43</v>
      </c>
      <c r="B42">
        <v>71</v>
      </c>
      <c r="C42">
        <v>71</v>
      </c>
      <c r="D42">
        <v>142</v>
      </c>
    </row>
    <row r="53" spans="1:4">
      <c r="A53" t="s">
        <v>44</v>
      </c>
      <c r="B53" t="s">
        <v>12</v>
      </c>
    </row>
    <row r="54" spans="1:4">
      <c r="A54" t="s">
        <v>11</v>
      </c>
      <c r="B54" t="s">
        <v>20</v>
      </c>
      <c r="C54" t="s">
        <v>17</v>
      </c>
      <c r="D54" t="s">
        <v>43</v>
      </c>
    </row>
    <row r="55" spans="1:4">
      <c r="A55">
        <v>25</v>
      </c>
      <c r="B55">
        <v>2</v>
      </c>
      <c r="C55">
        <v>4</v>
      </c>
      <c r="D55">
        <v>6</v>
      </c>
    </row>
    <row r="56" spans="1:4">
      <c r="A56">
        <v>26</v>
      </c>
      <c r="B56">
        <v>8</v>
      </c>
      <c r="C56">
        <v>9</v>
      </c>
      <c r="D56">
        <v>17</v>
      </c>
    </row>
    <row r="57" spans="1:4">
      <c r="A57">
        <v>27</v>
      </c>
      <c r="B57">
        <v>15</v>
      </c>
      <c r="C57">
        <v>8</v>
      </c>
      <c r="D57">
        <v>23</v>
      </c>
    </row>
    <row r="58" spans="1:4">
      <c r="A58">
        <v>28</v>
      </c>
      <c r="B58">
        <v>12</v>
      </c>
      <c r="C58">
        <v>10</v>
      </c>
      <c r="D58">
        <v>22</v>
      </c>
    </row>
    <row r="59" spans="1:4">
      <c r="A59">
        <v>29</v>
      </c>
      <c r="B59">
        <v>11</v>
      </c>
      <c r="C59">
        <v>6</v>
      </c>
      <c r="D59">
        <v>17</v>
      </c>
    </row>
    <row r="60" spans="1:4">
      <c r="A60">
        <v>30</v>
      </c>
      <c r="B60">
        <v>23</v>
      </c>
      <c r="C60">
        <v>4</v>
      </c>
      <c r="D60">
        <v>27</v>
      </c>
    </row>
    <row r="61" spans="1:4">
      <c r="A61">
        <v>31</v>
      </c>
      <c r="B61">
        <v>18</v>
      </c>
      <c r="C61">
        <v>8</v>
      </c>
      <c r="D61">
        <v>26</v>
      </c>
    </row>
    <row r="62" spans="1:4">
      <c r="A62">
        <v>32</v>
      </c>
      <c r="B62">
        <v>19</v>
      </c>
      <c r="C62">
        <v>15</v>
      </c>
      <c r="D62">
        <v>34</v>
      </c>
    </row>
    <row r="63" spans="1:4">
      <c r="A63">
        <v>33</v>
      </c>
      <c r="B63">
        <v>8</v>
      </c>
      <c r="C63">
        <v>13</v>
      </c>
      <c r="D63">
        <v>21</v>
      </c>
    </row>
    <row r="64" spans="1:4">
      <c r="A64">
        <v>34</v>
      </c>
      <c r="B64">
        <v>13</v>
      </c>
      <c r="C64">
        <v>19</v>
      </c>
      <c r="D64">
        <v>32</v>
      </c>
    </row>
    <row r="65" spans="1:4">
      <c r="A65">
        <v>35</v>
      </c>
      <c r="B65">
        <v>15</v>
      </c>
      <c r="C65">
        <v>25</v>
      </c>
      <c r="D65">
        <v>40</v>
      </c>
    </row>
    <row r="66" spans="1:4">
      <c r="A66">
        <v>36</v>
      </c>
      <c r="B66">
        <v>8</v>
      </c>
      <c r="C66">
        <v>31</v>
      </c>
      <c r="D66">
        <v>39</v>
      </c>
    </row>
    <row r="67" spans="1:4">
      <c r="A67">
        <v>37</v>
      </c>
      <c r="B67">
        <v>4</v>
      </c>
      <c r="C67">
        <v>28</v>
      </c>
      <c r="D67">
        <v>32</v>
      </c>
    </row>
    <row r="68" spans="1:4">
      <c r="A68">
        <v>38</v>
      </c>
      <c r="B68">
        <v>8</v>
      </c>
      <c r="C68">
        <v>30</v>
      </c>
      <c r="D68">
        <v>38</v>
      </c>
    </row>
    <row r="69" spans="1:4">
      <c r="A69">
        <v>39</v>
      </c>
      <c r="B69">
        <v>10</v>
      </c>
      <c r="C69">
        <v>12</v>
      </c>
      <c r="D69">
        <v>22</v>
      </c>
    </row>
    <row r="70" spans="1:4">
      <c r="A70">
        <v>40</v>
      </c>
      <c r="B70">
        <v>25</v>
      </c>
      <c r="C70">
        <v>19</v>
      </c>
      <c r="D70">
        <v>44</v>
      </c>
    </row>
    <row r="71" spans="1:4">
      <c r="A71">
        <v>41</v>
      </c>
      <c r="B71">
        <v>13</v>
      </c>
      <c r="C71">
        <v>15</v>
      </c>
      <c r="D71">
        <v>28</v>
      </c>
    </row>
    <row r="72" spans="1:4">
      <c r="A72">
        <v>42</v>
      </c>
      <c r="B72">
        <v>22</v>
      </c>
      <c r="C72">
        <v>12</v>
      </c>
      <c r="D72">
        <v>34</v>
      </c>
    </row>
    <row r="73" spans="1:4">
      <c r="A73">
        <v>43</v>
      </c>
      <c r="B73">
        <v>17</v>
      </c>
      <c r="C73">
        <v>19</v>
      </c>
      <c r="D73">
        <v>36</v>
      </c>
    </row>
    <row r="74" spans="1:4">
      <c r="A74">
        <v>44</v>
      </c>
      <c r="B74">
        <v>16</v>
      </c>
      <c r="C74">
        <v>12</v>
      </c>
      <c r="D74">
        <v>28</v>
      </c>
    </row>
    <row r="75" spans="1:4">
      <c r="A75">
        <v>45</v>
      </c>
      <c r="B75">
        <v>18</v>
      </c>
      <c r="C75">
        <v>14</v>
      </c>
      <c r="D75">
        <v>32</v>
      </c>
    </row>
    <row r="76" spans="1:4">
      <c r="A76">
        <v>46</v>
      </c>
      <c r="B76">
        <v>12</v>
      </c>
      <c r="C76">
        <v>15</v>
      </c>
      <c r="D76">
        <v>27</v>
      </c>
    </row>
    <row r="77" spans="1:4">
      <c r="A77">
        <v>47</v>
      </c>
      <c r="B77">
        <v>20</v>
      </c>
      <c r="C77">
        <v>20</v>
      </c>
      <c r="D77">
        <v>40</v>
      </c>
    </row>
    <row r="78" spans="1:4">
      <c r="A78">
        <v>48</v>
      </c>
      <c r="B78">
        <v>16</v>
      </c>
      <c r="C78">
        <v>13</v>
      </c>
      <c r="D78">
        <v>29</v>
      </c>
    </row>
    <row r="79" spans="1:4">
      <c r="A79">
        <v>49</v>
      </c>
      <c r="B79">
        <v>15</v>
      </c>
      <c r="C79">
        <v>8</v>
      </c>
      <c r="D79">
        <v>23</v>
      </c>
    </row>
    <row r="80" spans="1:4">
      <c r="A80">
        <v>50</v>
      </c>
      <c r="B80">
        <v>13</v>
      </c>
      <c r="C80">
        <v>13</v>
      </c>
      <c r="D80">
        <v>26</v>
      </c>
    </row>
    <row r="81" spans="1:4">
      <c r="A81">
        <v>51</v>
      </c>
      <c r="B81">
        <v>10</v>
      </c>
      <c r="C81">
        <v>12</v>
      </c>
      <c r="D81">
        <v>22</v>
      </c>
    </row>
    <row r="82" spans="1:4">
      <c r="A82">
        <v>52</v>
      </c>
      <c r="B82">
        <v>10</v>
      </c>
      <c r="C82">
        <v>15</v>
      </c>
      <c r="D82">
        <v>25</v>
      </c>
    </row>
    <row r="83" spans="1:4">
      <c r="A83">
        <v>53</v>
      </c>
      <c r="B83">
        <v>11</v>
      </c>
      <c r="C83">
        <v>13</v>
      </c>
      <c r="D83">
        <v>24</v>
      </c>
    </row>
    <row r="84" spans="1:4">
      <c r="A84">
        <v>54</v>
      </c>
      <c r="B84">
        <v>5</v>
      </c>
      <c r="C84">
        <v>12</v>
      </c>
      <c r="D84">
        <v>17</v>
      </c>
    </row>
    <row r="85" spans="1:4">
      <c r="A85">
        <v>55</v>
      </c>
      <c r="B85">
        <v>14</v>
      </c>
      <c r="C85">
        <v>6</v>
      </c>
      <c r="D85">
        <v>20</v>
      </c>
    </row>
    <row r="86" spans="1:4">
      <c r="A86">
        <v>56</v>
      </c>
      <c r="B86">
        <v>14</v>
      </c>
      <c r="C86">
        <v>3</v>
      </c>
      <c r="D86">
        <v>17</v>
      </c>
    </row>
    <row r="87" spans="1:4">
      <c r="A87">
        <v>57</v>
      </c>
      <c r="B87">
        <v>4</v>
      </c>
      <c r="C87">
        <v>4</v>
      </c>
      <c r="D87">
        <v>8</v>
      </c>
    </row>
    <row r="88" spans="1:4">
      <c r="A88">
        <v>58</v>
      </c>
      <c r="B88">
        <v>8</v>
      </c>
      <c r="C88">
        <v>4</v>
      </c>
      <c r="D88">
        <v>12</v>
      </c>
    </row>
    <row r="89" spans="1:4">
      <c r="A89">
        <v>59</v>
      </c>
      <c r="B89">
        <v>14</v>
      </c>
      <c r="C89">
        <v>7</v>
      </c>
      <c r="D89">
        <v>21</v>
      </c>
    </row>
    <row r="90" spans="1:4">
      <c r="A90">
        <v>60</v>
      </c>
      <c r="B90">
        <v>8</v>
      </c>
      <c r="C90">
        <v>7</v>
      </c>
      <c r="D90">
        <v>15</v>
      </c>
    </row>
    <row r="91" spans="1:4">
      <c r="A91">
        <v>61</v>
      </c>
      <c r="B91">
        <v>5</v>
      </c>
      <c r="C91">
        <v>4</v>
      </c>
      <c r="D91">
        <v>9</v>
      </c>
    </row>
    <row r="92" spans="1:4">
      <c r="A92">
        <v>62</v>
      </c>
      <c r="B92">
        <v>9</v>
      </c>
      <c r="C92">
        <v>4</v>
      </c>
      <c r="D92">
        <v>13</v>
      </c>
    </row>
    <row r="93" spans="1:4">
      <c r="A93">
        <v>63</v>
      </c>
      <c r="B93">
        <v>9</v>
      </c>
      <c r="C93">
        <v>2</v>
      </c>
      <c r="D93">
        <v>11</v>
      </c>
    </row>
    <row r="94" spans="1:4">
      <c r="A94">
        <v>64</v>
      </c>
      <c r="B94">
        <v>7</v>
      </c>
      <c r="C94">
        <v>3</v>
      </c>
      <c r="D94">
        <v>10</v>
      </c>
    </row>
    <row r="95" spans="1:4">
      <c r="A95">
        <v>65</v>
      </c>
      <c r="B95">
        <v>6</v>
      </c>
      <c r="C95">
        <v>3</v>
      </c>
      <c r="D95">
        <v>9</v>
      </c>
    </row>
    <row r="96" spans="1:4">
      <c r="A96">
        <v>66</v>
      </c>
      <c r="B96">
        <v>8</v>
      </c>
      <c r="C96">
        <v>6</v>
      </c>
      <c r="D96">
        <v>14</v>
      </c>
    </row>
    <row r="97" spans="1:4">
      <c r="A97">
        <v>67</v>
      </c>
      <c r="B97">
        <v>8</v>
      </c>
      <c r="C97">
        <v>2</v>
      </c>
      <c r="D97">
        <v>10</v>
      </c>
    </row>
    <row r="98" spans="1:4">
      <c r="A98">
        <v>68</v>
      </c>
      <c r="B98">
        <v>3</v>
      </c>
      <c r="C98"/>
      <c r="D98">
        <v>3</v>
      </c>
    </row>
    <row r="99" spans="1:4">
      <c r="A99">
        <v>69</v>
      </c>
      <c r="B99">
        <v>8</v>
      </c>
      <c r="C99"/>
      <c r="D99">
        <v>8</v>
      </c>
    </row>
    <row r="100" spans="1:4">
      <c r="A100">
        <v>70</v>
      </c>
      <c r="B100">
        <v>3</v>
      </c>
      <c r="C100">
        <v>1</v>
      </c>
      <c r="D100">
        <v>4</v>
      </c>
    </row>
    <row r="101" spans="1:4">
      <c r="A101">
        <v>71</v>
      </c>
      <c r="B101">
        <v>1</v>
      </c>
      <c r="C101"/>
      <c r="D101">
        <v>1</v>
      </c>
    </row>
    <row r="102" spans="1:4">
      <c r="A102">
        <v>72</v>
      </c>
      <c r="B102"/>
      <c r="C102">
        <v>1</v>
      </c>
      <c r="D102">
        <v>1</v>
      </c>
    </row>
    <row r="103" spans="1:4">
      <c r="A103">
        <v>73</v>
      </c>
      <c r="B103">
        <v>2</v>
      </c>
      <c r="C103">
        <v>2</v>
      </c>
      <c r="D103">
        <v>4</v>
      </c>
    </row>
    <row r="104" spans="1:4">
      <c r="A104">
        <v>74</v>
      </c>
      <c r="B104"/>
      <c r="C104">
        <v>1</v>
      </c>
      <c r="D104">
        <v>1</v>
      </c>
    </row>
    <row r="105" spans="1:4">
      <c r="A105">
        <v>78</v>
      </c>
      <c r="B105">
        <v>1</v>
      </c>
      <c r="C105">
        <v>1</v>
      </c>
      <c r="D105">
        <v>2</v>
      </c>
    </row>
    <row r="106" spans="1:4">
      <c r="A106">
        <v>80</v>
      </c>
      <c r="B106">
        <v>1</v>
      </c>
      <c r="D106">
        <v>1</v>
      </c>
    </row>
    <row r="107" spans="1:4">
      <c r="A107">
        <v>89</v>
      </c>
      <c r="B107">
        <v>1</v>
      </c>
      <c r="C107"/>
      <c r="D107">
        <v>1</v>
      </c>
    </row>
    <row r="108" spans="1:4">
      <c r="A108" t="s">
        <v>43</v>
      </c>
      <c r="B108">
        <v>531</v>
      </c>
      <c r="C108">
        <v>495</v>
      </c>
      <c r="D108">
        <v>1026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showGridLines="0" tabSelected="1" zoomScale="76" zoomScaleNormal="76" workbookViewId="0">
      <selection activeCell="R15" sqref="R15"/>
    </sheetView>
  </sheetViews>
  <sheetFormatPr defaultColWidth="8.88888888888889" defaultRowHeight="14.4" outlineLevelRow="5"/>
  <sheetData>
    <row r="1" spans="1:15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</sheetData>
  <mergeCells count="1">
    <mergeCell ref="A1:O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Fiza Khan</cp:lastModifiedBy>
  <dcterms:created xsi:type="dcterms:W3CDTF">2022-03-18T02:50:00Z</dcterms:created>
  <dcterms:modified xsi:type="dcterms:W3CDTF">2026-06-09T09:33:53Z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7DF07FF561B9463296834BAAA971E74A_12</vt:lpwstr>
  </property>
</Properties>
</file>